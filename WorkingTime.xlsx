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173452100291\Documents\CMMSApp\"/>
    </mc:Choice>
  </mc:AlternateContent>
  <xr:revisionPtr revIDLastSave="0" documentId="13_ncr:1_{A7E80D3F-1B85-4AFD-B0DE-2C42F28E9E21}" xr6:coauthVersionLast="47" xr6:coauthVersionMax="47" xr10:uidLastSave="{00000000-0000-0000-0000-000000000000}"/>
  <bookViews>
    <workbookView xWindow="-28920" yWindow="945" windowWidth="29040" windowHeight="15720" xr2:uid="{3D30DA47-802F-48F7-A367-90F0BF685127}"/>
  </bookViews>
  <sheets>
    <sheet name="Working 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6" i="1" l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A2" i="1"/>
  <c r="Z2" i="1"/>
  <c r="Y2" i="1"/>
  <c r="Y3" i="1" s="1"/>
  <c r="X2" i="1"/>
  <c r="W2" i="1"/>
  <c r="V2" i="1"/>
  <c r="U2" i="1"/>
  <c r="T2" i="1"/>
  <c r="S2" i="1"/>
  <c r="R2" i="1"/>
  <c r="Q2" i="1"/>
  <c r="P2" i="1"/>
  <c r="O2" i="1"/>
  <c r="N2" i="1"/>
  <c r="M2" i="1"/>
  <c r="M3" i="1" s="1"/>
  <c r="L2" i="1"/>
  <c r="K2" i="1"/>
  <c r="J2" i="1"/>
  <c r="I2" i="1"/>
  <c r="H2" i="1"/>
  <c r="G2" i="1"/>
  <c r="G3" i="1" s="1"/>
  <c r="F2" i="1"/>
  <c r="E2" i="1"/>
  <c r="D2" i="1"/>
  <c r="C2" i="1"/>
  <c r="B2" i="1"/>
  <c r="AA1" i="1"/>
  <c r="AA3" i="1" s="1"/>
  <c r="Z1" i="1"/>
  <c r="Y1" i="1"/>
  <c r="X1" i="1"/>
  <c r="W1" i="1"/>
  <c r="W3" i="1" s="1"/>
  <c r="V1" i="1"/>
  <c r="V3" i="1" s="1"/>
  <c r="U1" i="1"/>
  <c r="U3" i="1" s="1"/>
  <c r="T1" i="1"/>
  <c r="T3" i="1" s="1"/>
  <c r="S1" i="1"/>
  <c r="R1" i="1"/>
  <c r="Q1" i="1"/>
  <c r="P1" i="1"/>
  <c r="P3" i="1" s="1"/>
  <c r="O1" i="1"/>
  <c r="O3" i="1" s="1"/>
  <c r="N1" i="1"/>
  <c r="M1" i="1"/>
  <c r="L1" i="1"/>
  <c r="K1" i="1"/>
  <c r="K3" i="1" s="1"/>
  <c r="J1" i="1"/>
  <c r="I1" i="1"/>
  <c r="I3" i="1" s="1"/>
  <c r="H1" i="1"/>
  <c r="G1" i="1"/>
  <c r="F1" i="1"/>
  <c r="E1" i="1"/>
  <c r="E3" i="1" s="1"/>
  <c r="D1" i="1"/>
  <c r="D3" i="1" s="1"/>
  <c r="C1" i="1"/>
  <c r="C3" i="1" s="1"/>
  <c r="B1" i="1"/>
  <c r="J3" i="1" l="1"/>
  <c r="H3" i="1"/>
  <c r="F3" i="1"/>
  <c r="R3" i="1"/>
  <c r="S3" i="1"/>
  <c r="Q3" i="1"/>
  <c r="B3" i="1"/>
  <c r="N3" i="1"/>
  <c r="Z3" i="1"/>
  <c r="L3" i="1"/>
  <c r="X3" i="1"/>
</calcChain>
</file>

<file path=xl/sharedStrings.xml><?xml version="1.0" encoding="utf-8"?>
<sst xmlns="http://schemas.openxmlformats.org/spreadsheetml/2006/main" count="21" uniqueCount="21">
  <si>
    <t>Total MC</t>
  </si>
  <si>
    <t>WT</t>
  </si>
  <si>
    <t>Total WT</t>
  </si>
  <si>
    <r>
      <rPr>
        <sz val="14"/>
        <color theme="1"/>
        <rFont val="Times New Roman"/>
        <family val="1"/>
      </rPr>
      <t>- Bấm vào dấu cộng (</t>
    </r>
    <r>
      <rPr>
        <b/>
        <sz val="14"/>
        <color theme="1"/>
        <rFont val="Times New Roman"/>
        <family val="1"/>
      </rPr>
      <t>+</t>
    </r>
    <r>
      <rPr>
        <sz val="14"/>
        <color theme="1"/>
        <rFont val="Times New Roman"/>
        <family val="1"/>
      </rPr>
      <t>) ở thanh số hàng bên trái để mở ra bảng WT của máy và nhập theo tháng.
- Nhập ca làm theo ngày vào cột bên cạnh.
- Với những ngày chỉ có 1 ca làm (8 tiếng) thì nhập "</t>
    </r>
    <r>
      <rPr>
        <b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>".
- Với những ngày có 2 ca làm (16 tiếng) thì nhập "</t>
    </r>
    <r>
      <rPr>
        <b/>
        <sz val="14"/>
        <color theme="1"/>
        <rFont val="Times New Roman"/>
        <family val="1"/>
      </rPr>
      <t>16</t>
    </r>
    <r>
      <rPr>
        <sz val="14"/>
        <color theme="1"/>
        <rFont val="Times New Roman"/>
        <family val="1"/>
      </rPr>
      <t>".
- Với những ngày có 3 ca làm (24 tiếng) thì nhập "</t>
    </r>
    <r>
      <rPr>
        <b/>
        <sz val="14"/>
        <color theme="1"/>
        <rFont val="Times New Roman"/>
        <family val="1"/>
      </rPr>
      <t>24</t>
    </r>
    <r>
      <rPr>
        <sz val="14"/>
        <color theme="1"/>
        <rFont val="Times New Roman"/>
        <family val="1"/>
      </rPr>
      <t>".
- Với trường hợp ngày nào làm ca có cả giờ tăng ca thì cộng thêm giờ tăng ca vào: Ví dụ ngày đó làm ca hành chính tăng ca 1 tiếng rưỡi thì nhập "</t>
    </r>
    <r>
      <rPr>
        <b/>
        <sz val="14"/>
        <color theme="1"/>
        <rFont val="Times New Roman"/>
        <family val="1"/>
      </rPr>
      <t>9,5</t>
    </r>
    <r>
      <rPr>
        <sz val="14"/>
        <color theme="1"/>
        <rFont val="Times New Roman"/>
        <family val="1"/>
      </rPr>
      <t>".</t>
    </r>
  </si>
  <si>
    <t>Date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</si>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</sst>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41" fontId="2" fillId="2" borderId="0" xfId="0" applyNumberFormat="1" applyFont="1" applyFill="1"/>
    <xf numFmtId="0" fontId="2" fillId="0" borderId="0" xfId="0" applyFont="1"/>
    <xf numFmtId="0" fontId="3" fillId="3" borderId="1" xfId="0" quotePrefix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1" fillId="0" borderId="0" xfId="0" applyFont="1"/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164" fontId="2" fillId="0" borderId="15" xfId="0" applyNumberFormat="1" applyFont="1" applyBorder="1"/>
    <xf numFmtId="0" fontId="2" fillId="5" borderId="16" xfId="0" applyFont="1" applyFill="1" applyBorder="1"/>
    <xf numFmtId="0" fontId="2" fillId="5" borderId="15" xfId="0" applyFont="1" applyFill="1" applyBorder="1"/>
    <xf numFmtId="0" fontId="1" fillId="0" borderId="15" xfId="0" applyFont="1" applyBorder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33616</xdr:colOff>
      <xdr:row>4</xdr:row>
      <xdr:rowOff>11205</xdr:rowOff>
    </xdr:from>
    <xdr:to>
      <xdr:col>14</xdr:col>
      <xdr:colOff>504267</xdr:colOff>
      <xdr:row>10</xdr:row>
      <xdr:rowOff>148477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9876E56-5F80-457E-A0F0-56E8DDA84385}"/>
            </a:ext>
          </a:extLst>
        </xdr:cNvPr>
        <xdr:cNvGrpSpPr/>
      </xdr:nvGrpSpPr>
      <xdr:grpSpPr>
        <a:xfrm>
          <a:off x="7490330" y="215312"/>
          <a:ext cx="2307616" cy="1361915"/>
          <a:chOff x="29986941" y="224117"/>
          <a:chExt cx="2409269" cy="207428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97B42EF-2D4A-A5E8-1125-78119531D2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446386" y="224117"/>
            <a:ext cx="1949824" cy="2074281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B9E4F3-8054-F38D-99B4-8A5D40128CDE}"/>
              </a:ext>
            </a:extLst>
          </xdr:cNvPr>
          <xdr:cNvSpPr/>
        </xdr:nvSpPr>
        <xdr:spPr>
          <a:xfrm>
            <a:off x="30356735" y="381000"/>
            <a:ext cx="313765" cy="1860176"/>
          </a:xfrm>
          <a:prstGeom prst="rect">
            <a:avLst/>
          </a:prstGeom>
          <a:noFill/>
          <a:ln w="41275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Arrow: Right 4">
            <a:extLst>
              <a:ext uri="{FF2B5EF4-FFF2-40B4-BE49-F238E27FC236}">
                <a16:creationId xmlns:a16="http://schemas.microsoft.com/office/drawing/2014/main" id="{FA2EF467-D20B-7D5D-0EA0-4940BAA077F6}"/>
              </a:ext>
            </a:extLst>
          </xdr:cNvPr>
          <xdr:cNvSpPr/>
        </xdr:nvSpPr>
        <xdr:spPr>
          <a:xfrm rot="19809681">
            <a:off x="29986941" y="1278681"/>
            <a:ext cx="403412" cy="280147"/>
          </a:xfrm>
          <a:prstGeom prst="right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F1AA-66F3-49EF-96C1-7272F4C50C30}">
  <dimension ref="A1:AA50"/>
  <sheetViews>
    <sheetView showGridLines="0" tabSelected="1" topLeftCell="A13" zoomScale="70" zoomScaleNormal="70" workbookViewId="0">
      <pane ySplit="2" topLeftCell="A15" activePane="bottomLeft" state="frozen"/>
      <selection activeCell="A13" sqref="A13"/>
      <selection pane="bottomLeft" activeCell="Z45" sqref="Z45:AA45"/>
    </sheetView>
  </sheetViews>
  <sheetFormatPr defaultRowHeight="15" outlineLevelRow="1" x14ac:dyDescent="0.25"/>
  <cols>
    <col min="1" max="1" width="20" bestFit="1" customWidth="1"/>
  </cols>
  <sheetData>
    <row r="1" spans="1:27" ht="15.75" hidden="1" x14ac:dyDescent="0.25">
      <c r="A1" s="1" t="s">
        <v>0</v>
      </c>
      <c r="B1" s="2" t="e">
        <f>#REF!</f>
        <v>#REF!</v>
      </c>
      <c r="C1" s="2" t="e">
        <f>#REF!</f>
        <v>#REF!</v>
      </c>
      <c r="D1" s="2" t="e">
        <f>#REF!</f>
        <v>#REF!</v>
      </c>
      <c r="E1" s="2" t="e">
        <f>#REF!</f>
        <v>#REF!</v>
      </c>
      <c r="F1" s="2" t="e">
        <f>#REF!</f>
        <v>#REF!</v>
      </c>
      <c r="G1" s="2" t="e">
        <f>#REF!</f>
        <v>#REF!</v>
      </c>
      <c r="H1" s="2" t="e">
        <f>#REF!</f>
        <v>#REF!</v>
      </c>
      <c r="I1" s="2" t="e">
        <f>#REF!</f>
        <v>#REF!</v>
      </c>
      <c r="J1" s="2" t="e">
        <f>#REF!</f>
        <v>#REF!</v>
      </c>
      <c r="K1" s="2" t="e">
        <f>#REF!</f>
        <v>#REF!</v>
      </c>
      <c r="L1" s="2" t="e">
        <f>#REF!</f>
        <v>#REF!</v>
      </c>
      <c r="M1" s="2" t="e">
        <f>#REF!</f>
        <v>#REF!</v>
      </c>
      <c r="N1" s="2" t="e">
        <f>#REF!</f>
        <v>#REF!</v>
      </c>
      <c r="O1" s="2" t="e">
        <f>#REF!</f>
        <v>#REF!</v>
      </c>
      <c r="P1" s="2" t="e">
        <f>#REF!</f>
        <v>#REF!</v>
      </c>
      <c r="Q1" s="2" t="e">
        <f>#REF!</f>
        <v>#REF!</v>
      </c>
      <c r="R1" s="2" t="e">
        <f>#REF!</f>
        <v>#REF!</v>
      </c>
      <c r="S1" s="2" t="e">
        <f>#REF!</f>
        <v>#REF!</v>
      </c>
      <c r="T1" s="2" t="e">
        <f>#REF!</f>
        <v>#REF!</v>
      </c>
      <c r="U1" s="2" t="e">
        <f>#REF!</f>
        <v>#REF!</v>
      </c>
      <c r="V1" s="2" t="e">
        <f>#REF!</f>
        <v>#REF!</v>
      </c>
      <c r="W1" s="2" t="e">
        <f>#REF!</f>
        <v>#REF!</v>
      </c>
      <c r="X1" s="2" t="e">
        <f>#REF!</f>
        <v>#REF!</v>
      </c>
      <c r="Y1" s="2" t="e">
        <f>#REF!</f>
        <v>#REF!</v>
      </c>
      <c r="Z1" s="2" t="e">
        <f>#REF!</f>
        <v>#REF!</v>
      </c>
      <c r="AA1" s="2" t="e">
        <f>#REF!</f>
        <v>#REF!</v>
      </c>
    </row>
    <row r="2" spans="1:27" ht="15.75" hidden="1" x14ac:dyDescent="0.25">
      <c r="A2" s="1" t="s">
        <v>1</v>
      </c>
      <c r="B2" s="2" t="e">
        <f>#REF!</f>
        <v>#REF!</v>
      </c>
      <c r="C2" s="2" t="e">
        <f>#REF!</f>
        <v>#REF!</v>
      </c>
      <c r="D2" s="2" t="e">
        <f>#REF!</f>
        <v>#REF!</v>
      </c>
      <c r="E2" s="2" t="e">
        <f>#REF!</f>
        <v>#REF!</v>
      </c>
      <c r="F2" s="2" t="e">
        <f>#REF!</f>
        <v>#REF!</v>
      </c>
      <c r="G2" s="2" t="e">
        <f>#REF!</f>
        <v>#REF!</v>
      </c>
      <c r="H2" s="2" t="e">
        <f>#REF!</f>
        <v>#REF!</v>
      </c>
      <c r="I2" s="2" t="e">
        <f>#REF!</f>
        <v>#REF!</v>
      </c>
      <c r="J2" s="2" t="e">
        <f>#REF!</f>
        <v>#REF!</v>
      </c>
      <c r="K2" s="2" t="e">
        <f>#REF!</f>
        <v>#REF!</v>
      </c>
      <c r="L2" s="2" t="e">
        <f>#REF!</f>
        <v>#REF!</v>
      </c>
      <c r="M2" s="2" t="e">
        <f>#REF!</f>
        <v>#REF!</v>
      </c>
      <c r="N2" s="2" t="e">
        <f>#REF!</f>
        <v>#REF!</v>
      </c>
      <c r="O2" s="2" t="e">
        <f>#REF!</f>
        <v>#REF!</v>
      </c>
      <c r="P2" s="2" t="e">
        <f>#REF!</f>
        <v>#REF!</v>
      </c>
      <c r="Q2" s="2" t="e">
        <f>#REF!</f>
        <v>#REF!</v>
      </c>
      <c r="R2" s="2" t="e">
        <f>#REF!</f>
        <v>#REF!</v>
      </c>
      <c r="S2" s="2" t="e">
        <f>#REF!</f>
        <v>#REF!</v>
      </c>
      <c r="T2" s="2" t="e">
        <f>#REF!</f>
        <v>#REF!</v>
      </c>
      <c r="U2" s="2" t="e">
        <f>#REF!</f>
        <v>#REF!</v>
      </c>
      <c r="V2" s="2" t="e">
        <f>#REF!</f>
        <v>#REF!</v>
      </c>
      <c r="W2" s="2" t="e">
        <f>#REF!</f>
        <v>#REF!</v>
      </c>
      <c r="X2" s="2" t="e">
        <f>#REF!</f>
        <v>#REF!</v>
      </c>
      <c r="Y2" s="2" t="e">
        <f>#REF!</f>
        <v>#REF!</v>
      </c>
      <c r="Z2" s="2" t="e">
        <f>#REF!</f>
        <v>#REF!</v>
      </c>
      <c r="AA2" s="2" t="e">
        <f>#REF!</f>
        <v>#REF!</v>
      </c>
    </row>
    <row r="3" spans="1:27" ht="15.75" hidden="1" x14ac:dyDescent="0.25">
      <c r="A3" s="1" t="s">
        <v>2</v>
      </c>
      <c r="B3" s="2" t="e">
        <f>B1*B2*60</f>
        <v>#REF!</v>
      </c>
      <c r="C3" s="2" t="e">
        <f t="shared" ref="C3:AA3" si="0">C1*C2*60</f>
        <v>#REF!</v>
      </c>
      <c r="D3" s="2" t="e">
        <f>D1*D2*60</f>
        <v>#REF!</v>
      </c>
      <c r="E3" s="2" t="e">
        <f>E1*E2*60</f>
        <v>#REF!</v>
      </c>
      <c r="F3" s="2" t="e">
        <f t="shared" si="0"/>
        <v>#REF!</v>
      </c>
      <c r="G3" s="2" t="e">
        <f t="shared" si="0"/>
        <v>#REF!</v>
      </c>
      <c r="H3" s="2" t="e">
        <f t="shared" si="0"/>
        <v>#REF!</v>
      </c>
      <c r="I3" s="2" t="e">
        <f t="shared" si="0"/>
        <v>#REF!</v>
      </c>
      <c r="J3" s="2" t="e">
        <f t="shared" si="0"/>
        <v>#REF!</v>
      </c>
      <c r="K3" s="2" t="e">
        <f t="shared" si="0"/>
        <v>#REF!</v>
      </c>
      <c r="L3" s="2" t="e">
        <f t="shared" si="0"/>
        <v>#REF!</v>
      </c>
      <c r="M3" s="2" t="e">
        <f t="shared" si="0"/>
        <v>#REF!</v>
      </c>
      <c r="N3" s="2" t="e">
        <f t="shared" si="0"/>
        <v>#REF!</v>
      </c>
      <c r="O3" s="2" t="e">
        <f t="shared" si="0"/>
        <v>#REF!</v>
      </c>
      <c r="P3" s="2" t="e">
        <f t="shared" si="0"/>
        <v>#REF!</v>
      </c>
      <c r="Q3" s="2" t="e">
        <f t="shared" si="0"/>
        <v>#REF!</v>
      </c>
      <c r="R3" s="2" t="e">
        <f t="shared" si="0"/>
        <v>#REF!</v>
      </c>
      <c r="S3" s="2" t="e">
        <f t="shared" si="0"/>
        <v>#REF!</v>
      </c>
      <c r="T3" s="2" t="e">
        <f t="shared" si="0"/>
        <v>#REF!</v>
      </c>
      <c r="U3" s="2" t="e">
        <f t="shared" si="0"/>
        <v>#REF!</v>
      </c>
      <c r="V3" s="2" t="e">
        <f t="shared" si="0"/>
        <v>#REF!</v>
      </c>
      <c r="W3" s="2" t="e">
        <f t="shared" si="0"/>
        <v>#REF!</v>
      </c>
      <c r="X3" s="2" t="e">
        <f t="shared" si="0"/>
        <v>#REF!</v>
      </c>
      <c r="Y3" s="2" t="e">
        <f t="shared" si="0"/>
        <v>#REF!</v>
      </c>
      <c r="Z3" s="2" t="e">
        <f t="shared" si="0"/>
        <v>#REF!</v>
      </c>
      <c r="AA3" s="2" t="e">
        <f t="shared" si="0"/>
        <v>#REF!</v>
      </c>
    </row>
    <row r="4" spans="1:27" ht="16.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x14ac:dyDescent="0.25">
      <c r="A5" s="3"/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6"/>
      <c r="M5" s="7"/>
      <c r="N5" s="7"/>
      <c r="O5" s="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x14ac:dyDescent="0.25">
      <c r="A6" s="3"/>
      <c r="B6" s="9"/>
      <c r="C6" s="10"/>
      <c r="D6" s="10"/>
      <c r="E6" s="10"/>
      <c r="F6" s="10"/>
      <c r="G6" s="10"/>
      <c r="H6" s="10"/>
      <c r="I6" s="10"/>
      <c r="J6" s="10"/>
      <c r="K6" s="10"/>
      <c r="L6" s="11"/>
      <c r="M6" s="12"/>
      <c r="N6" s="12"/>
      <c r="O6" s="1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x14ac:dyDescent="0.25">
      <c r="A7" s="3"/>
      <c r="B7" s="9"/>
      <c r="C7" s="10"/>
      <c r="D7" s="10"/>
      <c r="E7" s="10"/>
      <c r="F7" s="10"/>
      <c r="G7" s="10"/>
      <c r="H7" s="10"/>
      <c r="I7" s="10"/>
      <c r="J7" s="10"/>
      <c r="K7" s="10"/>
      <c r="L7" s="11"/>
      <c r="M7" s="12"/>
      <c r="N7" s="12"/>
      <c r="O7" s="1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x14ac:dyDescent="0.25">
      <c r="A8" s="3"/>
      <c r="B8" s="9"/>
      <c r="C8" s="10"/>
      <c r="D8" s="10"/>
      <c r="E8" s="10"/>
      <c r="F8" s="10"/>
      <c r="G8" s="10"/>
      <c r="H8" s="10"/>
      <c r="I8" s="10"/>
      <c r="J8" s="10"/>
      <c r="K8" s="10"/>
      <c r="L8" s="11"/>
      <c r="M8" s="12"/>
      <c r="N8" s="12"/>
      <c r="O8" s="1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x14ac:dyDescent="0.25">
      <c r="A9" s="3"/>
      <c r="B9" s="9"/>
      <c r="C9" s="10"/>
      <c r="D9" s="10"/>
      <c r="E9" s="10"/>
      <c r="F9" s="10"/>
      <c r="G9" s="10"/>
      <c r="H9" s="10"/>
      <c r="I9" s="10"/>
      <c r="J9" s="10"/>
      <c r="K9" s="10"/>
      <c r="L9" s="11"/>
      <c r="M9" s="12"/>
      <c r="N9" s="12"/>
      <c r="O9" s="1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x14ac:dyDescent="0.25">
      <c r="A10" s="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2"/>
      <c r="N10" s="12"/>
      <c r="O10" s="1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.5" thickBot="1" x14ac:dyDescent="0.3">
      <c r="A11" s="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6"/>
      <c r="M11" s="17"/>
      <c r="N11" s="17"/>
      <c r="O11" s="18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x14ac:dyDescent="0.25">
      <c r="A13" s="1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x14ac:dyDescent="0.25">
      <c r="A14" s="20" t="s">
        <v>4</v>
      </c>
      <c r="B14" s="21" t="s">
        <v>5</v>
      </c>
      <c r="C14" s="22" t="s">
        <v>6</v>
      </c>
      <c r="D14" s="22" t="s">
        <v>7</v>
      </c>
      <c r="E14" s="22" t="s">
        <v>8</v>
      </c>
      <c r="F14" s="22" t="s">
        <v>9</v>
      </c>
      <c r="G14" s="22" t="s">
        <v>10</v>
      </c>
      <c r="H14" s="22" t="s">
        <v>11</v>
      </c>
      <c r="I14" s="22" t="s">
        <v>12</v>
      </c>
      <c r="J14" s="22" t="s">
        <v>13</v>
      </c>
      <c r="K14" s="22" t="s">
        <v>14</v>
      </c>
      <c r="L14" s="22" t="s">
        <v>15</v>
      </c>
      <c r="M14" s="22" t="s">
        <v>16</v>
      </c>
      <c r="N14" s="22" t="s">
        <v>17</v>
      </c>
      <c r="O14" s="22" t="s">
        <v>18</v>
      </c>
      <c r="P14" s="23" t="s">
        <v>19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</row>
    <row r="15" spans="1:27" ht="15.75" outlineLevel="1" x14ac:dyDescent="0.25">
      <c r="A15" s="26">
        <v>45992</v>
      </c>
      <c r="B15" s="27"/>
      <c r="C15" s="27">
        <v>12</v>
      </c>
      <c r="D15" s="27">
        <v>12</v>
      </c>
      <c r="E15" s="27">
        <v>12</v>
      </c>
      <c r="F15" s="27"/>
      <c r="G15" s="27"/>
      <c r="H15" s="27">
        <v>12</v>
      </c>
      <c r="I15" s="27"/>
      <c r="J15" s="27">
        <v>12</v>
      </c>
      <c r="K15" s="27">
        <v>24</v>
      </c>
      <c r="L15" s="27">
        <v>12</v>
      </c>
      <c r="M15" s="27">
        <v>12</v>
      </c>
      <c r="N15" s="27">
        <v>12</v>
      </c>
      <c r="O15" s="27">
        <v>12</v>
      </c>
      <c r="P15" s="27">
        <v>12</v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15.75" outlineLevel="1" x14ac:dyDescent="0.25">
      <c r="A16" s="26">
        <f>A15+1</f>
        <v>45993</v>
      </c>
      <c r="B16" s="28"/>
      <c r="C16" s="28">
        <v>12</v>
      </c>
      <c r="D16" s="28">
        <v>12</v>
      </c>
      <c r="E16" s="28">
        <v>12</v>
      </c>
      <c r="F16" s="28"/>
      <c r="G16" s="28"/>
      <c r="H16" s="28">
        <v>12</v>
      </c>
      <c r="I16" s="28"/>
      <c r="J16" s="28">
        <v>12</v>
      </c>
      <c r="K16" s="28">
        <v>24</v>
      </c>
      <c r="L16" s="28">
        <v>12</v>
      </c>
      <c r="M16" s="28">
        <v>12</v>
      </c>
      <c r="N16" s="28">
        <v>12</v>
      </c>
      <c r="O16" s="28">
        <v>12</v>
      </c>
      <c r="P16" s="28">
        <v>12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5.75" outlineLevel="1" x14ac:dyDescent="0.25">
      <c r="A17" s="26">
        <f t="shared" ref="A17:A44" si="1">A16+1</f>
        <v>45994</v>
      </c>
      <c r="B17" s="28"/>
      <c r="C17" s="28">
        <v>12</v>
      </c>
      <c r="D17" s="28">
        <v>12</v>
      </c>
      <c r="E17" s="28">
        <v>12</v>
      </c>
      <c r="F17" s="28"/>
      <c r="G17" s="28"/>
      <c r="H17" s="28">
        <v>12</v>
      </c>
      <c r="I17" s="28"/>
      <c r="J17" s="28">
        <v>12</v>
      </c>
      <c r="K17" s="28">
        <v>24</v>
      </c>
      <c r="L17" s="28">
        <v>12</v>
      </c>
      <c r="M17" s="28">
        <v>12</v>
      </c>
      <c r="N17" s="28">
        <v>12</v>
      </c>
      <c r="O17" s="28">
        <v>12</v>
      </c>
      <c r="P17" s="28">
        <v>12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15.75" outlineLevel="1" x14ac:dyDescent="0.25">
      <c r="A18" s="26">
        <f t="shared" si="1"/>
        <v>45995</v>
      </c>
      <c r="B18" s="28"/>
      <c r="C18" s="28">
        <v>12</v>
      </c>
      <c r="D18" s="28">
        <v>12</v>
      </c>
      <c r="E18" s="28">
        <v>12</v>
      </c>
      <c r="F18" s="28"/>
      <c r="G18" s="28"/>
      <c r="H18" s="28">
        <v>12</v>
      </c>
      <c r="I18" s="28"/>
      <c r="J18" s="28">
        <v>12</v>
      </c>
      <c r="K18" s="28">
        <v>24</v>
      </c>
      <c r="L18" s="28">
        <v>12</v>
      </c>
      <c r="M18" s="28">
        <v>12</v>
      </c>
      <c r="N18" s="28">
        <v>12</v>
      </c>
      <c r="O18" s="28">
        <v>12</v>
      </c>
      <c r="P18" s="28">
        <v>12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5.75" outlineLevel="1" x14ac:dyDescent="0.25">
      <c r="A19" s="26">
        <f t="shared" si="1"/>
        <v>45996</v>
      </c>
      <c r="B19" s="28"/>
      <c r="C19" s="28">
        <v>12</v>
      </c>
      <c r="D19" s="28">
        <v>12</v>
      </c>
      <c r="E19" s="28">
        <v>12</v>
      </c>
      <c r="F19" s="28"/>
      <c r="G19" s="28"/>
      <c r="H19" s="28">
        <v>12</v>
      </c>
      <c r="I19" s="28"/>
      <c r="J19" s="28">
        <v>12</v>
      </c>
      <c r="K19" s="28">
        <v>24</v>
      </c>
      <c r="L19" s="28">
        <v>12</v>
      </c>
      <c r="M19" s="28">
        <v>12</v>
      </c>
      <c r="N19" s="28">
        <v>12</v>
      </c>
      <c r="O19" s="28">
        <v>12</v>
      </c>
      <c r="P19" s="28">
        <v>12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15.75" outlineLevel="1" x14ac:dyDescent="0.25">
      <c r="A20" s="26">
        <f t="shared" si="1"/>
        <v>45997</v>
      </c>
      <c r="B20" s="28"/>
      <c r="C20" s="28">
        <v>12</v>
      </c>
      <c r="D20" s="28">
        <v>12</v>
      </c>
      <c r="E20" s="28">
        <v>12</v>
      </c>
      <c r="F20" s="28"/>
      <c r="G20" s="28"/>
      <c r="H20" s="28">
        <v>12</v>
      </c>
      <c r="I20" s="28"/>
      <c r="J20" s="28">
        <v>12</v>
      </c>
      <c r="K20" s="28">
        <v>24</v>
      </c>
      <c r="L20" s="28">
        <v>12</v>
      </c>
      <c r="M20" s="28">
        <v>12</v>
      </c>
      <c r="N20" s="28">
        <v>12</v>
      </c>
      <c r="O20" s="28">
        <v>12</v>
      </c>
      <c r="P20" s="28">
        <v>12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15.75" outlineLevel="1" x14ac:dyDescent="0.25">
      <c r="A21" s="26">
        <f t="shared" si="1"/>
        <v>45998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15.75" outlineLevel="1" x14ac:dyDescent="0.25">
      <c r="A22" s="26">
        <f t="shared" si="1"/>
        <v>45999</v>
      </c>
      <c r="B22" s="28"/>
      <c r="C22" s="28">
        <v>12</v>
      </c>
      <c r="D22" s="28">
        <v>12</v>
      </c>
      <c r="E22" s="28">
        <v>12</v>
      </c>
      <c r="F22" s="28">
        <v>12</v>
      </c>
      <c r="G22" s="28"/>
      <c r="H22" s="28">
        <v>12</v>
      </c>
      <c r="I22" s="28"/>
      <c r="J22" s="28">
        <v>12</v>
      </c>
      <c r="K22" s="28">
        <v>24</v>
      </c>
      <c r="L22" s="28">
        <v>12</v>
      </c>
      <c r="M22" s="28">
        <v>12</v>
      </c>
      <c r="N22" s="28">
        <v>12</v>
      </c>
      <c r="O22" s="28">
        <v>12</v>
      </c>
      <c r="P22" s="28">
        <v>12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15.75" outlineLevel="1" x14ac:dyDescent="0.25">
      <c r="A23" s="26">
        <f t="shared" si="1"/>
        <v>46000</v>
      </c>
      <c r="B23" s="28"/>
      <c r="C23" s="28">
        <v>12</v>
      </c>
      <c r="D23" s="28">
        <v>12</v>
      </c>
      <c r="E23" s="28">
        <v>12</v>
      </c>
      <c r="F23" s="28">
        <v>12</v>
      </c>
      <c r="G23" s="28"/>
      <c r="H23" s="28">
        <v>12</v>
      </c>
      <c r="I23" s="28"/>
      <c r="J23" s="28">
        <v>12</v>
      </c>
      <c r="K23" s="28">
        <v>24</v>
      </c>
      <c r="L23" s="28">
        <v>12</v>
      </c>
      <c r="M23" s="28">
        <v>12</v>
      </c>
      <c r="N23" s="28">
        <v>12</v>
      </c>
      <c r="O23" s="28">
        <v>12</v>
      </c>
      <c r="P23" s="28">
        <v>12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15.75" outlineLevel="1" x14ac:dyDescent="0.25">
      <c r="A24" s="26">
        <f t="shared" si="1"/>
        <v>46001</v>
      </c>
      <c r="B24" s="28"/>
      <c r="C24" s="28">
        <v>12</v>
      </c>
      <c r="D24" s="28">
        <v>12</v>
      </c>
      <c r="E24" s="28">
        <v>12</v>
      </c>
      <c r="F24" s="28">
        <v>12</v>
      </c>
      <c r="G24" s="28"/>
      <c r="H24" s="28">
        <v>12</v>
      </c>
      <c r="I24" s="28"/>
      <c r="J24" s="28">
        <v>12</v>
      </c>
      <c r="K24" s="28">
        <v>24</v>
      </c>
      <c r="L24" s="28">
        <v>12</v>
      </c>
      <c r="M24" s="28">
        <v>12</v>
      </c>
      <c r="N24" s="28">
        <v>12</v>
      </c>
      <c r="O24" s="28">
        <v>12</v>
      </c>
      <c r="P24" s="28">
        <v>12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15.75" outlineLevel="1" x14ac:dyDescent="0.25">
      <c r="A25" s="26">
        <f t="shared" si="1"/>
        <v>46002</v>
      </c>
      <c r="B25" s="28"/>
      <c r="C25" s="28">
        <v>12</v>
      </c>
      <c r="D25" s="28">
        <v>12</v>
      </c>
      <c r="E25" s="28">
        <v>12</v>
      </c>
      <c r="F25" s="28">
        <v>12</v>
      </c>
      <c r="G25" s="28"/>
      <c r="H25" s="28">
        <v>12</v>
      </c>
      <c r="I25" s="28"/>
      <c r="J25" s="28">
        <v>12</v>
      </c>
      <c r="K25" s="28">
        <v>24</v>
      </c>
      <c r="L25" s="28">
        <v>12</v>
      </c>
      <c r="M25" s="28">
        <v>12</v>
      </c>
      <c r="N25" s="28">
        <v>12</v>
      </c>
      <c r="O25" s="28">
        <v>12</v>
      </c>
      <c r="P25" s="28">
        <v>12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15.75" outlineLevel="1" x14ac:dyDescent="0.25">
      <c r="A26" s="26">
        <f t="shared" si="1"/>
        <v>46003</v>
      </c>
      <c r="B26" s="28"/>
      <c r="C26" s="28">
        <v>12</v>
      </c>
      <c r="D26" s="28">
        <v>12</v>
      </c>
      <c r="E26" s="28">
        <v>12</v>
      </c>
      <c r="F26" s="28">
        <v>12</v>
      </c>
      <c r="G26" s="28"/>
      <c r="H26" s="28">
        <v>12</v>
      </c>
      <c r="I26" s="28"/>
      <c r="J26" s="28">
        <v>12</v>
      </c>
      <c r="K26" s="28">
        <v>24</v>
      </c>
      <c r="L26" s="28">
        <v>12</v>
      </c>
      <c r="M26" s="28">
        <v>12</v>
      </c>
      <c r="N26" s="28">
        <v>12</v>
      </c>
      <c r="O26" s="28">
        <v>12</v>
      </c>
      <c r="P26" s="28">
        <v>12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15.75" outlineLevel="1" x14ac:dyDescent="0.25">
      <c r="A27" s="26">
        <f t="shared" si="1"/>
        <v>46004</v>
      </c>
      <c r="B27" s="28"/>
      <c r="C27" s="28">
        <v>12</v>
      </c>
      <c r="D27" s="28">
        <v>12</v>
      </c>
      <c r="E27" s="28">
        <v>12</v>
      </c>
      <c r="F27" s="28">
        <v>12</v>
      </c>
      <c r="G27" s="28"/>
      <c r="H27" s="28">
        <v>12</v>
      </c>
      <c r="I27" s="28"/>
      <c r="J27" s="28">
        <v>12</v>
      </c>
      <c r="K27" s="28">
        <v>24</v>
      </c>
      <c r="L27" s="28">
        <v>12</v>
      </c>
      <c r="M27" s="28">
        <v>12</v>
      </c>
      <c r="N27" s="28">
        <v>12</v>
      </c>
      <c r="O27" s="28">
        <v>12</v>
      </c>
      <c r="P27" s="28">
        <v>12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15.75" outlineLevel="1" x14ac:dyDescent="0.25">
      <c r="A28" s="26">
        <f t="shared" si="1"/>
        <v>46005</v>
      </c>
      <c r="B28" s="28"/>
      <c r="C28" s="28">
        <v>12</v>
      </c>
      <c r="D28" s="28">
        <v>12</v>
      </c>
      <c r="E28" s="28">
        <v>12</v>
      </c>
      <c r="F28" s="28">
        <v>12</v>
      </c>
      <c r="G28" s="28"/>
      <c r="H28" s="28">
        <v>12</v>
      </c>
      <c r="I28" s="28"/>
      <c r="J28" s="28">
        <v>12</v>
      </c>
      <c r="K28" s="28">
        <v>24</v>
      </c>
      <c r="L28" s="28">
        <v>12</v>
      </c>
      <c r="M28" s="28">
        <v>12</v>
      </c>
      <c r="N28" s="28">
        <v>12</v>
      </c>
      <c r="O28" s="28">
        <v>12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15.75" outlineLevel="1" x14ac:dyDescent="0.25">
      <c r="A29" s="26">
        <f t="shared" si="1"/>
        <v>46006</v>
      </c>
      <c r="B29" s="28"/>
      <c r="C29" s="28">
        <v>12</v>
      </c>
      <c r="D29" s="28"/>
      <c r="E29" s="28">
        <v>12</v>
      </c>
      <c r="F29" s="28"/>
      <c r="G29" s="28"/>
      <c r="H29" s="28">
        <v>12</v>
      </c>
      <c r="I29" s="28"/>
      <c r="J29" s="28">
        <v>12</v>
      </c>
      <c r="K29" s="28">
        <v>24</v>
      </c>
      <c r="L29" s="28">
        <v>12</v>
      </c>
      <c r="M29" s="28">
        <v>12</v>
      </c>
      <c r="N29" s="28">
        <v>12</v>
      </c>
      <c r="O29" s="28">
        <v>24</v>
      </c>
      <c r="P29" s="28">
        <v>12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15.75" outlineLevel="1" x14ac:dyDescent="0.25">
      <c r="A30" s="26">
        <f t="shared" si="1"/>
        <v>46007</v>
      </c>
      <c r="B30" s="28"/>
      <c r="C30" s="28">
        <v>12</v>
      </c>
      <c r="D30" s="28"/>
      <c r="E30" s="28">
        <v>12</v>
      </c>
      <c r="F30" s="28"/>
      <c r="G30" s="28"/>
      <c r="H30" s="28">
        <v>12</v>
      </c>
      <c r="I30" s="28"/>
      <c r="J30" s="28">
        <v>12</v>
      </c>
      <c r="K30" s="28">
        <v>24</v>
      </c>
      <c r="L30" s="28">
        <v>12</v>
      </c>
      <c r="M30" s="28">
        <v>12</v>
      </c>
      <c r="N30" s="28">
        <v>12</v>
      </c>
      <c r="O30" s="28">
        <v>24</v>
      </c>
      <c r="P30" s="28">
        <v>12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15.75" outlineLevel="1" x14ac:dyDescent="0.25">
      <c r="A31" s="26">
        <f t="shared" si="1"/>
        <v>46008</v>
      </c>
      <c r="B31" s="28"/>
      <c r="C31" s="28">
        <v>12</v>
      </c>
      <c r="D31" s="28"/>
      <c r="E31" s="28">
        <v>12</v>
      </c>
      <c r="F31" s="28"/>
      <c r="G31" s="28"/>
      <c r="H31" s="28">
        <v>12</v>
      </c>
      <c r="I31" s="28"/>
      <c r="J31" s="28">
        <v>12</v>
      </c>
      <c r="K31" s="28">
        <v>24</v>
      </c>
      <c r="L31" s="28">
        <v>12</v>
      </c>
      <c r="M31" s="28">
        <v>12</v>
      </c>
      <c r="N31" s="28">
        <v>12</v>
      </c>
      <c r="O31" s="28">
        <v>24</v>
      </c>
      <c r="P31" s="28">
        <v>12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15.75" outlineLevel="1" x14ac:dyDescent="0.25">
      <c r="A32" s="26">
        <f t="shared" si="1"/>
        <v>46009</v>
      </c>
      <c r="B32" s="28"/>
      <c r="C32" s="28">
        <v>12</v>
      </c>
      <c r="D32" s="28"/>
      <c r="E32" s="28">
        <v>12</v>
      </c>
      <c r="F32" s="28"/>
      <c r="G32" s="28"/>
      <c r="H32" s="28">
        <v>12</v>
      </c>
      <c r="I32" s="28"/>
      <c r="J32" s="28">
        <v>12</v>
      </c>
      <c r="K32" s="28">
        <v>24</v>
      </c>
      <c r="L32" s="28">
        <v>12</v>
      </c>
      <c r="M32" s="28">
        <v>12</v>
      </c>
      <c r="N32" s="28">
        <v>12</v>
      </c>
      <c r="O32" s="28">
        <v>24</v>
      </c>
      <c r="P32" s="28">
        <v>12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5.75" outlineLevel="1" x14ac:dyDescent="0.25">
      <c r="A33" s="26">
        <f t="shared" si="1"/>
        <v>46010</v>
      </c>
      <c r="B33" s="28"/>
      <c r="C33" s="28">
        <v>12</v>
      </c>
      <c r="D33" s="28"/>
      <c r="E33" s="28">
        <v>12</v>
      </c>
      <c r="F33" s="28"/>
      <c r="G33" s="28"/>
      <c r="H33" s="28">
        <v>12</v>
      </c>
      <c r="I33" s="28"/>
      <c r="J33" s="28">
        <v>12</v>
      </c>
      <c r="K33" s="28">
        <v>24</v>
      </c>
      <c r="L33" s="28">
        <v>12</v>
      </c>
      <c r="M33" s="28">
        <v>12</v>
      </c>
      <c r="N33" s="28">
        <v>12</v>
      </c>
      <c r="O33" s="28">
        <v>24</v>
      </c>
      <c r="P33" s="28">
        <v>12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15.75" outlineLevel="1" x14ac:dyDescent="0.25">
      <c r="A34" s="26">
        <f t="shared" si="1"/>
        <v>46011</v>
      </c>
      <c r="B34" s="28"/>
      <c r="C34" s="28">
        <v>12</v>
      </c>
      <c r="D34" s="28"/>
      <c r="E34" s="28">
        <v>12</v>
      </c>
      <c r="F34" s="28"/>
      <c r="G34" s="28"/>
      <c r="H34" s="28">
        <v>12</v>
      </c>
      <c r="I34" s="28"/>
      <c r="J34" s="28">
        <v>12</v>
      </c>
      <c r="K34" s="28">
        <v>24</v>
      </c>
      <c r="L34" s="28">
        <v>12</v>
      </c>
      <c r="M34" s="28">
        <v>12</v>
      </c>
      <c r="N34" s="28">
        <v>12</v>
      </c>
      <c r="O34" s="28">
        <v>24</v>
      </c>
      <c r="P34" s="28">
        <v>12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15.75" outlineLevel="1" x14ac:dyDescent="0.25">
      <c r="A35" s="26">
        <f t="shared" si="1"/>
        <v>46012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15.75" outlineLevel="1" x14ac:dyDescent="0.25">
      <c r="A36" s="26">
        <f t="shared" si="1"/>
        <v>46013</v>
      </c>
      <c r="B36" s="28"/>
      <c r="C36" s="28">
        <v>12</v>
      </c>
      <c r="D36" s="28"/>
      <c r="E36" s="28">
        <v>12</v>
      </c>
      <c r="F36" s="28"/>
      <c r="G36" s="28"/>
      <c r="H36" s="28">
        <v>12</v>
      </c>
      <c r="I36" s="28"/>
      <c r="J36" s="28">
        <v>12</v>
      </c>
      <c r="K36" s="28">
        <v>24</v>
      </c>
      <c r="L36" s="28">
        <v>12</v>
      </c>
      <c r="M36" s="28">
        <v>12</v>
      </c>
      <c r="N36" s="28">
        <v>12</v>
      </c>
      <c r="O36" s="28">
        <v>24</v>
      </c>
      <c r="P36" s="28">
        <v>12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15.75" outlineLevel="1" x14ac:dyDescent="0.25">
      <c r="A37" s="26">
        <f t="shared" si="1"/>
        <v>46014</v>
      </c>
      <c r="B37" s="28"/>
      <c r="C37" s="28">
        <v>12</v>
      </c>
      <c r="D37" s="28"/>
      <c r="E37" s="28">
        <v>12</v>
      </c>
      <c r="F37" s="28"/>
      <c r="G37" s="28"/>
      <c r="H37" s="28">
        <v>12</v>
      </c>
      <c r="I37" s="28"/>
      <c r="J37" s="28">
        <v>12</v>
      </c>
      <c r="K37" s="28">
        <v>24</v>
      </c>
      <c r="L37" s="28">
        <v>12</v>
      </c>
      <c r="M37" s="28">
        <v>12</v>
      </c>
      <c r="N37" s="28">
        <v>12</v>
      </c>
      <c r="O37" s="28">
        <v>24</v>
      </c>
      <c r="P37" s="28">
        <v>12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15.75" outlineLevel="1" x14ac:dyDescent="0.25">
      <c r="A38" s="26">
        <f t="shared" si="1"/>
        <v>46015</v>
      </c>
      <c r="B38" s="28"/>
      <c r="C38" s="28">
        <v>12</v>
      </c>
      <c r="D38" s="28">
        <v>12</v>
      </c>
      <c r="E38" s="28"/>
      <c r="F38" s="28"/>
      <c r="G38" s="28"/>
      <c r="H38" s="28">
        <v>12</v>
      </c>
      <c r="I38" s="28"/>
      <c r="J38" s="28">
        <v>12</v>
      </c>
      <c r="K38" s="28">
        <v>24</v>
      </c>
      <c r="L38" s="28">
        <v>12</v>
      </c>
      <c r="M38" s="28">
        <v>12</v>
      </c>
      <c r="N38" s="28">
        <v>12</v>
      </c>
      <c r="O38" s="28">
        <v>24</v>
      </c>
      <c r="P38" s="28">
        <v>12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15.75" outlineLevel="1" x14ac:dyDescent="0.25">
      <c r="A39" s="26">
        <f t="shared" si="1"/>
        <v>46016</v>
      </c>
      <c r="B39" s="28"/>
      <c r="C39" s="28">
        <v>12</v>
      </c>
      <c r="D39" s="28">
        <v>12</v>
      </c>
      <c r="E39" s="28"/>
      <c r="F39" s="28"/>
      <c r="G39" s="28"/>
      <c r="H39" s="28">
        <v>12</v>
      </c>
      <c r="I39" s="28"/>
      <c r="J39" s="28">
        <v>12</v>
      </c>
      <c r="K39" s="28">
        <v>24</v>
      </c>
      <c r="L39" s="28">
        <v>12</v>
      </c>
      <c r="M39" s="28"/>
      <c r="N39" s="28">
        <v>12</v>
      </c>
      <c r="O39" s="28">
        <v>24</v>
      </c>
      <c r="P39" s="28">
        <v>12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15.75" outlineLevel="1" x14ac:dyDescent="0.25">
      <c r="A40" s="26">
        <f t="shared" si="1"/>
        <v>46017</v>
      </c>
      <c r="B40" s="28"/>
      <c r="C40" s="28">
        <v>12</v>
      </c>
      <c r="D40" s="28">
        <v>12</v>
      </c>
      <c r="E40" s="28"/>
      <c r="F40" s="28"/>
      <c r="G40" s="28"/>
      <c r="H40" s="28">
        <v>12</v>
      </c>
      <c r="I40" s="28"/>
      <c r="J40" s="28">
        <v>12</v>
      </c>
      <c r="K40" s="28">
        <v>24</v>
      </c>
      <c r="L40" s="28">
        <v>12</v>
      </c>
      <c r="M40" s="28"/>
      <c r="N40" s="28">
        <v>12</v>
      </c>
      <c r="O40" s="28">
        <v>24</v>
      </c>
      <c r="P40" s="28">
        <v>12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15.75" outlineLevel="1" x14ac:dyDescent="0.25">
      <c r="A41" s="26">
        <f t="shared" si="1"/>
        <v>46018</v>
      </c>
      <c r="B41" s="28"/>
      <c r="C41" s="28">
        <v>12</v>
      </c>
      <c r="D41" s="28">
        <v>12</v>
      </c>
      <c r="E41" s="28"/>
      <c r="F41" s="28"/>
      <c r="G41" s="28"/>
      <c r="H41" s="28">
        <v>12</v>
      </c>
      <c r="I41" s="28"/>
      <c r="J41" s="28">
        <v>12</v>
      </c>
      <c r="K41" s="28">
        <v>24</v>
      </c>
      <c r="L41" s="28">
        <v>12</v>
      </c>
      <c r="M41" s="28"/>
      <c r="N41" s="28">
        <v>12</v>
      </c>
      <c r="O41" s="28">
        <v>24</v>
      </c>
      <c r="P41" s="28">
        <v>12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15.75" outlineLevel="1" x14ac:dyDescent="0.25">
      <c r="A42" s="26">
        <f t="shared" si="1"/>
        <v>46019</v>
      </c>
      <c r="B42" s="28"/>
      <c r="C42" s="28">
        <v>12</v>
      </c>
      <c r="D42" s="28">
        <v>12</v>
      </c>
      <c r="E42" s="28"/>
      <c r="F42" s="28"/>
      <c r="G42" s="28"/>
      <c r="H42" s="28">
        <v>12</v>
      </c>
      <c r="I42" s="28"/>
      <c r="J42" s="28">
        <v>12</v>
      </c>
      <c r="K42" s="28">
        <v>24</v>
      </c>
      <c r="L42" s="28">
        <v>12</v>
      </c>
      <c r="M42" s="28"/>
      <c r="N42" s="28">
        <v>12</v>
      </c>
      <c r="O42" s="28">
        <v>24</v>
      </c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15.75" outlineLevel="1" x14ac:dyDescent="0.25">
      <c r="A43" s="26">
        <f t="shared" si="1"/>
        <v>46020</v>
      </c>
      <c r="B43" s="28"/>
      <c r="C43" s="28">
        <v>12</v>
      </c>
      <c r="D43" s="28">
        <v>12</v>
      </c>
      <c r="E43" s="28"/>
      <c r="F43" s="28"/>
      <c r="G43" s="28"/>
      <c r="H43" s="28">
        <v>12</v>
      </c>
      <c r="I43" s="28"/>
      <c r="J43" s="28">
        <v>12</v>
      </c>
      <c r="K43" s="28">
        <v>24</v>
      </c>
      <c r="L43" s="28">
        <v>12</v>
      </c>
      <c r="M43" s="28"/>
      <c r="N43" s="28">
        <v>12</v>
      </c>
      <c r="O43" s="28">
        <v>24</v>
      </c>
      <c r="P43" s="28">
        <v>12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15.75" outlineLevel="1" x14ac:dyDescent="0.25">
      <c r="A44" s="26">
        <f t="shared" si="1"/>
        <v>46021</v>
      </c>
      <c r="B44" s="28"/>
      <c r="C44" s="28">
        <v>12</v>
      </c>
      <c r="D44" s="28">
        <v>12</v>
      </c>
      <c r="E44" s="28"/>
      <c r="F44" s="28"/>
      <c r="G44" s="28"/>
      <c r="H44" s="28">
        <v>12</v>
      </c>
      <c r="I44" s="28"/>
      <c r="J44" s="28">
        <v>12</v>
      </c>
      <c r="K44" s="28">
        <v>24</v>
      </c>
      <c r="L44" s="28">
        <v>12</v>
      </c>
      <c r="M44" s="28"/>
      <c r="N44" s="28">
        <v>12</v>
      </c>
      <c r="O44" s="28">
        <v>24</v>
      </c>
      <c r="P44" s="28">
        <v>12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15.75" outlineLevel="1" x14ac:dyDescent="0.25">
      <c r="A45" s="2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15.75" outlineLevel="1" x14ac:dyDescent="0.25">
      <c r="A46" s="29" t="s">
        <v>20</v>
      </c>
      <c r="B46" s="30">
        <f>SUM(B15:B45)</f>
        <v>0</v>
      </c>
      <c r="C46" s="30">
        <f>SUM(C15:C45)</f>
        <v>336</v>
      </c>
      <c r="D46" s="30">
        <f>SUM(D15:D45)</f>
        <v>240</v>
      </c>
      <c r="E46" s="30">
        <f t="shared" ref="E46:AA46" si="2">SUM(E15:E45)</f>
        <v>252</v>
      </c>
      <c r="F46" s="30">
        <f t="shared" si="2"/>
        <v>84</v>
      </c>
      <c r="G46" s="30">
        <f t="shared" si="2"/>
        <v>0</v>
      </c>
      <c r="H46" s="30">
        <f t="shared" si="2"/>
        <v>336</v>
      </c>
      <c r="I46" s="30">
        <f t="shared" si="2"/>
        <v>0</v>
      </c>
      <c r="J46" s="30">
        <f t="shared" si="2"/>
        <v>336</v>
      </c>
      <c r="K46" s="30">
        <f t="shared" si="2"/>
        <v>672</v>
      </c>
      <c r="L46" s="30">
        <f t="shared" si="2"/>
        <v>336</v>
      </c>
      <c r="M46" s="30">
        <f t="shared" si="2"/>
        <v>264</v>
      </c>
      <c r="N46" s="30">
        <f t="shared" si="2"/>
        <v>336</v>
      </c>
      <c r="O46" s="30">
        <f t="shared" si="2"/>
        <v>516</v>
      </c>
      <c r="P46" s="30">
        <f t="shared" si="2"/>
        <v>312</v>
      </c>
      <c r="Q46" s="30">
        <f t="shared" si="2"/>
        <v>0</v>
      </c>
      <c r="R46" s="30">
        <f t="shared" si="2"/>
        <v>0</v>
      </c>
      <c r="S46" s="30">
        <f t="shared" si="2"/>
        <v>0</v>
      </c>
      <c r="T46" s="30">
        <f t="shared" si="2"/>
        <v>0</v>
      </c>
      <c r="U46" s="30">
        <f t="shared" si="2"/>
        <v>0</v>
      </c>
      <c r="V46" s="30">
        <f t="shared" si="2"/>
        <v>0</v>
      </c>
      <c r="W46" s="30">
        <f t="shared" si="2"/>
        <v>0</v>
      </c>
      <c r="X46" s="30">
        <f t="shared" si="2"/>
        <v>0</v>
      </c>
      <c r="Y46" s="30">
        <f t="shared" si="2"/>
        <v>0</v>
      </c>
      <c r="Z46" s="30">
        <f t="shared" si="2"/>
        <v>0</v>
      </c>
      <c r="AA46" s="30">
        <f t="shared" si="2"/>
        <v>0</v>
      </c>
    </row>
    <row r="47" spans="1:27" ht="15.7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</sheetData>
  <mergeCells count="2">
    <mergeCell ref="B5:K11"/>
    <mergeCell ref="L5:O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DUC HOANG NGUYEN</dc:creator>
  <cp:lastModifiedBy>PHUC DUC HOANG NGUYEN</cp:lastModifiedBy>
  <dcterms:created xsi:type="dcterms:W3CDTF">2026-03-07T06:45:14Z</dcterms:created>
  <dcterms:modified xsi:type="dcterms:W3CDTF">2026-03-07T07:06:02Z</dcterms:modified>
</cp:coreProperties>
</file>